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零用金报销单" sheetId="1" r:id="rId1"/>
  </sheets>
  <definedNames>
    <definedName name="ColumnTitle1">ExpenseData[[#Headers],[旅客姓名]]</definedName>
    <definedName name="_xlnm.Print_Titles" localSheetId="0">零用金报销单!$9:$9</definedName>
    <definedName name="小计">零用金报销单!$L$20</definedName>
    <definedName name="预付款">零用金报销单!$L$21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<sst xmlns="http://schemas.openxmlformats.org/spreadsheetml/2006/main" count="42" uniqueCount="39">
  <si>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余额缴款单</t>
  </si>
  <si>
    <t>仅用于办公用途</t>
  </si>
  <si>
    <t>常规信息</t>
  </si>
  <si>
    <t>旅游订单编号</t>
  </si>
  <si>
    <t>付款期</t>
  </si>
  <si>
    <t>开始时间：2023/10/1</t>
  </si>
  <si>
    <t>结束时间：2023/11/1</t>
  </si>
  <si>
    <t>负责人信息</t>
  </si>
  <si>
    <t>姓名</t>
  </si>
  <si>
    <t>peach</t>
  </si>
  <si>
    <t>位置​​</t>
  </si>
  <si>
    <t>销售代表</t>
  </si>
  <si>
    <t>SSN</t>
  </si>
  <si>
    <t>123-45-****</t>
  </si>
  <si>
    <t>部门</t>
  </si>
  <si>
    <t>市场营销和销售</t>
  </si>
  <si>
    <t>经理</t>
  </si>
  <si>
    <t>Liane Cormier</t>
  </si>
  <si>
    <t>员工 ID</t>
  </si>
  <si>
    <t>旅客姓名</t>
  </si>
  <si>
    <t>身份证号</t>
  </si>
  <si>
    <t>旅游项目名称</t>
  </si>
  <si>
    <t>应付总额</t>
  </si>
  <si>
    <t>已缴金额</t>
  </si>
  <si>
    <t>余额金额</t>
  </si>
  <si>
    <t>缴款截止日期</t>
  </si>
  <si>
    <t>付款方式</t>
  </si>
  <si>
    <t>备注</t>
  </si>
  <si>
    <t>列1</t>
  </si>
  <si>
    <t>列2</t>
  </si>
  <si>
    <t>444444444444</t>
  </si>
  <si>
    <t>顺德五日游</t>
  </si>
  <si>
    <t>2025.6.7</t>
  </si>
  <si>
    <t>支付宝</t>
  </si>
  <si>
    <t>大众点评</t>
  </si>
  <si>
    <t>汇总</t>
  </si>
  <si>
    <t>小计</t>
  </si>
  <si>
    <t>已批准</t>
  </si>
  <si>
    <t>预付款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</si>
</sst>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\¥#,##0.00_);\(\¥#,##0.00\)"/>
    <numFmt numFmtId="178" formatCode="_(* #,##0_);_(* \(#,##0\);_(* &quot;-&quot;_);_(@_)"/>
    <numFmt numFmtId="179" formatCode="_ \¥* #,##0_ ;_ \¥* \-#,##0_ ;_ \¥* &quot;-&quot;_ ;_ @_ "/>
    <numFmt numFmtId="180" formatCode="\¥#,##0.00;\¥\-#,##0.00"/>
  </numFmts>
  <fonts count="30">
    <font>
      <sz val="11"/>
      <color theme="1" tint="0.249946592608417"/>
      <name val="Microsoft YaHei UI"/>
      <charset val="134"/>
    </font>
    <font>
      <sz val="11"/>
      <color theme="1"/>
      <name val="Microsoft YaHei UI"/>
      <charset val="134"/>
    </font>
    <font>
      <sz val="36"/>
      <color theme="5" tint="-0.749992370372631"/>
      <name val="Microsoft YaHei UI"/>
      <charset val="134"/>
    </font>
    <font>
      <b/>
      <sz val="16"/>
      <color theme="4"/>
      <name val="Microsoft YaHei UI"/>
      <charset val="134"/>
    </font>
    <font>
      <b/>
      <sz val="11"/>
      <color theme="1"/>
      <name val="Microsoft YaHei UI"/>
      <charset val="134"/>
    </font>
    <font>
      <b/>
      <sz val="11"/>
      <color theme="3"/>
      <name val="Microsoft YaHei UI"/>
      <charset val="134"/>
    </font>
    <font>
      <b/>
      <sz val="16"/>
      <color theme="5" tint="-0.749992370372631"/>
      <name val="Microsoft YaHei UI"/>
      <charset val="134"/>
    </font>
    <font>
      <sz val="11"/>
      <color theme="3"/>
      <name val="Microsoft YaHei UI"/>
      <charset val="134"/>
    </font>
    <font>
      <sz val="10"/>
      <name val="Microsoft YaHei UI"/>
      <charset val="134"/>
    </font>
    <font>
      <sz val="11"/>
      <color theme="5" tint="-0.249977111117893"/>
      <name val="Microsoft YaHei UI"/>
      <charset val="134"/>
    </font>
    <font>
      <sz val="12"/>
      <color theme="1"/>
      <name val="Microsoft YaHei UI"/>
      <charset val="134"/>
    </font>
    <font>
      <sz val="11"/>
      <name val="Microsoft YaHei UI"/>
      <charset val="134"/>
    </font>
    <font>
      <sz val="9"/>
      <color theme="3"/>
      <name val="Microsoft YaHei UI"/>
      <charset val="134"/>
    </font>
    <font>
      <u/>
      <sz val="11"/>
      <color rgb="FF0000FF"/>
      <name val="Franklin Gothic Medium"/>
      <charset val="0"/>
      <scheme val="minor"/>
    </font>
    <font>
      <u/>
      <sz val="11"/>
      <color rgb="FF800080"/>
      <name val="Franklin Gothic Medium"/>
      <charset val="0"/>
      <scheme val="minor"/>
    </font>
    <font>
      <sz val="11"/>
      <color rgb="FFFF0000"/>
      <name val="Microsoft YaHei UI"/>
      <charset val="134"/>
    </font>
    <font>
      <sz val="24"/>
      <color theme="4" tint="-0.499984740745262"/>
      <name val="Microsoft YaHei UI"/>
      <charset val="134"/>
    </font>
    <font>
      <i/>
      <sz val="11"/>
      <color rgb="FF7F7F7F"/>
      <name val="Microsoft YaHei UI"/>
      <charset val="134"/>
    </font>
    <font>
      <b/>
      <sz val="12"/>
      <color theme="4" tint="-0.499984740745262"/>
      <name val="Microsoft YaHei UI"/>
      <charset val="134"/>
    </font>
    <font>
      <b/>
      <sz val="11"/>
      <color theme="4" tint="-0.499984740745262"/>
      <name val="Microsoft YaHei UI"/>
      <charset val="134"/>
    </font>
    <font>
      <i/>
      <u/>
      <sz val="9"/>
      <color theme="1" tint="0.0499893185216834"/>
      <name val="Microsoft YaHei UI"/>
      <charset val="134"/>
    </font>
    <font>
      <sz val="11"/>
      <color rgb="FF3F3F76"/>
      <name val="Microsoft YaHei UI"/>
      <charset val="134"/>
    </font>
    <font>
      <b/>
      <sz val="11"/>
      <color rgb="FF3F3F3F"/>
      <name val="Microsoft YaHei UI"/>
      <charset val="134"/>
    </font>
    <font>
      <b/>
      <sz val="11"/>
      <color rgb="FFFA7D00"/>
      <name val="Microsoft YaHei UI"/>
      <charset val="134"/>
    </font>
    <font>
      <b/>
      <sz val="11"/>
      <color theme="0"/>
      <name val="Microsoft YaHei UI"/>
      <charset val="134"/>
    </font>
    <font>
      <sz val="11"/>
      <color rgb="FFFA7D00"/>
      <name val="Microsoft YaHei UI"/>
      <charset val="134"/>
    </font>
    <font>
      <sz val="11"/>
      <color rgb="FF006100"/>
      <name val="Microsoft YaHei UI"/>
      <charset val="134"/>
    </font>
    <font>
      <sz val="11"/>
      <color rgb="FF9C0006"/>
      <name val="Microsoft YaHei UI"/>
      <charset val="134"/>
    </font>
    <font>
      <sz val="11"/>
      <color rgb="FF9C5700"/>
      <name val="Microsoft YaHei UI"/>
      <charset val="134"/>
    </font>
    <font>
      <sz val="11"/>
      <color theme="0"/>
      <name val="Microsoft YaHei U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theme="5" tint="-0.749961851863155"/>
      </bottom>
      <diagonal/>
    </border>
    <border>
      <left/>
      <right/>
      <top/>
      <bottom style="medium">
        <color theme="4" tint="-0.749992370372631"/>
      </bottom>
      <diagonal/>
    </border>
    <border>
      <left/>
      <right/>
      <top/>
      <bottom style="medium">
        <color theme="4" tint="0.799951170384838"/>
      </bottom>
      <diagonal/>
    </border>
    <border>
      <left/>
      <right/>
      <top style="medium">
        <color theme="4" tint="0.799951170384838"/>
      </top>
      <bottom style="medium">
        <color theme="4" tint="0.799951170384838"/>
      </bottom>
      <diagonal/>
    </border>
    <border>
      <left style="thin">
        <color theme="6" tint="0.599963377788629"/>
      </left>
      <right/>
      <top style="medium">
        <color theme="4" tint="-0.749992370372631"/>
      </top>
      <bottom style="thin">
        <color theme="6" tint="0.599963377788629"/>
      </bottom>
      <diagonal/>
    </border>
    <border>
      <left style="thin">
        <color theme="6" tint="0.599963377788629"/>
      </left>
      <right/>
      <top style="thin">
        <color theme="6" tint="0.599963377788629"/>
      </top>
      <bottom style="thin">
        <color theme="6" tint="0.5999633777886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theme="4"/>
      </bottom>
      <diagonal/>
    </border>
    <border>
      <left/>
      <right/>
      <top/>
      <bottom style="thin">
        <color theme="1" tint="0.349986266670736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/>
      <diagonal/>
    </border>
  </borders>
  <cellStyleXfs count="55">
    <xf numFmtId="0" fontId="0" fillId="0" borderId="0"/>
    <xf numFmtId="176" fontId="0" fillId="0" borderId="0" applyFill="0" applyBorder="0" applyAlignment="0" applyProtection="0"/>
    <xf numFmtId="177" fontId="0" fillId="0" borderId="0" applyFont="0" applyFill="0" applyBorder="0" applyProtection="0">
      <alignment vertical="center"/>
    </xf>
    <xf numFmtId="9" fontId="0" fillId="0" borderId="0" applyFill="0" applyBorder="0" applyAlignment="0" applyProtection="0"/>
    <xf numFmtId="178" fontId="0" fillId="0" borderId="0" applyFill="0" applyBorder="0" applyAlignment="0" applyProtection="0"/>
    <xf numFmtId="179" fontId="0" fillId="0" borderId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0" applyProtection="0">
      <alignment vertical="top"/>
    </xf>
    <xf numFmtId="0" fontId="17" fillId="0" borderId="0" applyNumberFormat="0" applyFill="0" applyBorder="0" applyAlignment="0" applyProtection="0"/>
    <xf numFmtId="0" fontId="18" fillId="0" borderId="0" applyFill="0" applyProtection="0"/>
    <xf numFmtId="0" fontId="19" fillId="0" borderId="0" applyFill="0" applyProtection="0">
      <alignment horizontal="right" vertical="center" wrapText="1"/>
    </xf>
    <xf numFmtId="0" fontId="0" fillId="0" borderId="0" applyFill="0" applyProtection="0">
      <alignment horizontal="right" vertical="center" indent="1"/>
    </xf>
    <xf numFmtId="0" fontId="20" fillId="0" borderId="0" applyProtection="0">
      <alignment vertical="top"/>
    </xf>
    <xf numFmtId="0" fontId="21" fillId="4" borderId="8" applyNumberFormat="0" applyAlignment="0" applyProtection="0"/>
    <xf numFmtId="0" fontId="22" fillId="5" borderId="9" applyNumberFormat="0" applyAlignment="0" applyProtection="0"/>
    <xf numFmtId="0" fontId="23" fillId="5" borderId="8" applyNumberFormat="0" applyAlignment="0" applyProtection="0"/>
    <xf numFmtId="0" fontId="24" fillId="6" borderId="10" applyNumberFormat="0" applyAlignment="0" applyProtection="0"/>
    <xf numFmtId="0" fontId="25" fillId="0" borderId="11" applyNumberFormat="0" applyFill="0" applyAlignment="0" applyProtection="0"/>
    <xf numFmtId="180" fontId="4" fillId="7" borderId="12">
      <alignment horizontal="center"/>
    </xf>
    <xf numFmtId="0" fontId="26" fillId="8" borderId="0" applyNumberFormat="0" applyBorder="0" applyAlignment="0" applyProtection="0"/>
    <xf numFmtId="0" fontId="27" fillId="9" borderId="0" applyNumberFormat="0" applyBorder="0" applyAlignment="0" applyProtection="0"/>
    <xf numFmtId="0" fontId="28" fillId="10" borderId="0" applyNumberFormat="0" applyBorder="0" applyAlignment="0" applyProtection="0"/>
    <xf numFmtId="0" fontId="29" fillId="11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0" fillId="0" borderId="13">
      <alignment horizontal="left" vertical="center" wrapText="1"/>
    </xf>
    <xf numFmtId="0" fontId="0" fillId="0" borderId="0">
      <alignment vertical="center"/>
    </xf>
    <xf numFmtId="0" fontId="0" fillId="0" borderId="0">
      <alignment vertical="center" wrapText="1"/>
    </xf>
    <xf numFmtId="14" fontId="0" fillId="0" borderId="0">
      <alignment horizontal="left" vertical="center"/>
    </xf>
    <xf numFmtId="177" fontId="4" fillId="7" borderId="14">
      <alignment horizontal="center"/>
    </xf>
    <xf numFmtId="177" fontId="4" fillId="0" borderId="15">
      <alignment horizontal="center"/>
    </xf>
  </cellStyleXfs>
  <cellXfs count="39">
    <xf numFmtId="0" fontId="0" fillId="0" borderId="0" xfId="0"/>
    <xf numFmtId="0" fontId="1" fillId="2" borderId="0" xfId="0" applyFont="1" applyFill="1" applyAlignment="1">
      <alignment horizontal="left" indent="1"/>
    </xf>
    <xf numFmtId="0" fontId="0" fillId="2" borderId="0" xfId="0" applyFont="1" applyFill="1"/>
    <xf numFmtId="0" fontId="2" fillId="2" borderId="0" xfId="10" applyFont="1" applyFill="1" applyAlignment="1">
      <alignment horizontal="left"/>
    </xf>
    <xf numFmtId="0" fontId="3" fillId="2" borderId="0" xfId="10" applyFont="1" applyFill="1" applyAlignment="1">
      <alignment horizontal="left" vertical="center" indent="1"/>
    </xf>
    <xf numFmtId="0" fontId="4" fillId="2" borderId="0" xfId="13" applyFont="1" applyFill="1" applyAlignment="1">
      <alignment horizontal="right" wrapText="1" indent="1"/>
    </xf>
    <xf numFmtId="0" fontId="0" fillId="2" borderId="0" xfId="49" applyFont="1" applyFill="1" applyBorder="1" applyAlignment="1">
      <alignment horizontal="left" wrapText="1"/>
    </xf>
    <xf numFmtId="0" fontId="4" fillId="2" borderId="0" xfId="13" applyFont="1" applyFill="1" applyAlignment="1">
      <alignment horizontal="right" indent="1"/>
    </xf>
    <xf numFmtId="0" fontId="5" fillId="2" borderId="1" xfId="13" applyFont="1" applyFill="1" applyBorder="1" applyAlignment="1">
      <alignment horizontal="right" wrapText="1" indent="1"/>
    </xf>
    <xf numFmtId="0" fontId="0" fillId="2" borderId="1" xfId="49" applyFont="1" applyFill="1" applyBorder="1" applyAlignment="1">
      <alignment horizontal="left" wrapText="1"/>
    </xf>
    <xf numFmtId="0" fontId="5" fillId="2" borderId="1" xfId="13" applyFont="1" applyFill="1" applyBorder="1" applyAlignment="1">
      <alignment horizontal="right" indent="1"/>
    </xf>
    <xf numFmtId="0" fontId="3" fillId="2" borderId="0" xfId="12" applyFont="1" applyFill="1" applyAlignment="1">
      <alignment horizontal="left" indent="1"/>
    </xf>
    <xf numFmtId="0" fontId="1" fillId="2" borderId="0" xfId="14" applyFont="1" applyFill="1" applyAlignment="1">
      <alignment horizontal="right" indent="1"/>
    </xf>
    <xf numFmtId="0" fontId="6" fillId="0" borderId="0" xfId="50" applyFont="1" applyAlignment="1">
      <alignment horizontal="center" vertical="center"/>
    </xf>
    <xf numFmtId="0" fontId="6" fillId="2" borderId="0" xfId="50" applyFont="1" applyFill="1" applyAlignment="1">
      <alignment horizontal="center" vertical="center"/>
    </xf>
    <xf numFmtId="14" fontId="0" fillId="0" borderId="0" xfId="52" applyAlignment="1">
      <alignment horizontal="center" vertical="center"/>
    </xf>
    <xf numFmtId="0" fontId="0" fillId="0" borderId="0" xfId="51" applyFont="1" applyAlignment="1">
      <alignment horizontal="center" vertical="center" wrapText="1"/>
    </xf>
    <xf numFmtId="177" fontId="0" fillId="0" borderId="0" xfId="2" applyFont="1" applyFill="1" applyBorder="1" applyAlignment="1">
      <alignment horizontal="center" vertical="center"/>
    </xf>
    <xf numFmtId="177" fontId="0" fillId="0" borderId="0" xfId="2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7" fontId="7" fillId="2" borderId="2" xfId="2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3" fillId="2" borderId="0" xfId="13" applyFont="1" applyFill="1" applyAlignment="1">
      <alignment horizontal="right" vertical="center" wrapText="1" indent="1"/>
    </xf>
    <xf numFmtId="0" fontId="9" fillId="2" borderId="3" xfId="49" applyFont="1" applyFill="1" applyBorder="1">
      <alignment horizontal="left" vertical="center" wrapText="1"/>
    </xf>
    <xf numFmtId="0" fontId="3" fillId="2" borderId="0" xfId="13" applyFont="1" applyFill="1" applyAlignment="1">
      <alignment horizontal="right" indent="1"/>
    </xf>
    <xf numFmtId="0" fontId="0" fillId="2" borderId="3" xfId="49" applyFont="1" applyFill="1" applyBorder="1">
      <alignment horizontal="left" vertical="center" wrapText="1"/>
    </xf>
    <xf numFmtId="0" fontId="0" fillId="2" borderId="4" xfId="49" applyFont="1" applyFill="1" applyBorder="1">
      <alignment horizontal="left" vertical="center" wrapText="1"/>
    </xf>
    <xf numFmtId="0" fontId="10" fillId="2" borderId="0" xfId="15" applyFont="1" applyFill="1" applyAlignment="1">
      <alignment horizontal="right" vertical="center" indent="1"/>
    </xf>
    <xf numFmtId="0" fontId="11" fillId="2" borderId="0" xfId="14" applyFont="1" applyFill="1" applyAlignment="1">
      <alignment horizontal="left"/>
    </xf>
    <xf numFmtId="0" fontId="12" fillId="2" borderId="0" xfId="15" applyFont="1" applyFill="1" applyAlignment="1">
      <alignment horizontal="center" vertical="center"/>
    </xf>
    <xf numFmtId="14" fontId="0" fillId="2" borderId="0" xfId="52" applyFont="1" applyFill="1" applyAlignment="1">
      <alignment horizontal="left"/>
    </xf>
    <xf numFmtId="14" fontId="0" fillId="2" borderId="1" xfId="52" applyFont="1" applyFill="1" applyBorder="1" applyAlignment="1">
      <alignment horizontal="left"/>
    </xf>
    <xf numFmtId="0" fontId="0" fillId="2" borderId="1" xfId="0" applyFont="1" applyFill="1" applyBorder="1"/>
    <xf numFmtId="177" fontId="0" fillId="2" borderId="0" xfId="2" applyFont="1" applyFill="1" applyAlignment="1">
      <alignment horizontal="center" vertical="center"/>
    </xf>
    <xf numFmtId="177" fontId="7" fillId="2" borderId="2" xfId="0" applyNumberFormat="1" applyFont="1" applyFill="1" applyBorder="1" applyAlignment="1">
      <alignment horizontal="center" vertical="center"/>
    </xf>
    <xf numFmtId="0" fontId="1" fillId="2" borderId="0" xfId="14" applyFont="1" applyFill="1">
      <alignment horizontal="right" vertical="center" indent="1"/>
    </xf>
    <xf numFmtId="177" fontId="5" fillId="2" borderId="5" xfId="53" applyFont="1" applyFill="1" applyBorder="1" applyAlignment="1">
      <alignment horizontal="center" vertical="center"/>
    </xf>
    <xf numFmtId="177" fontId="5" fillId="2" borderId="6" xfId="54" applyFont="1" applyFill="1" applyBorder="1" applyAlignment="1">
      <alignment horizontal="center" vertical="center"/>
    </xf>
    <xf numFmtId="180" fontId="5" fillId="2" borderId="6" xfId="21" applyFont="1" applyFill="1" applyBorder="1" applyAlignment="1">
      <alignment horizontal="center" vertical="center"/>
    </xf>
    <xf numFmtId="0" fontId="0" fillId="0" borderId="0" xfId="51" applyFont="1" applyAlignment="1" quotePrefix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标签文本" xfId="49"/>
    <cellStyle name="标题行" xfId="50"/>
    <cellStyle name="表格文本" xfId="51"/>
    <cellStyle name="日期" xfId="52"/>
    <cellStyle name="小计" xfId="53"/>
    <cellStyle name="预付款" xfId="54"/>
  </cellStyles>
  <dxfs count="14">
    <dxf>
      <alignment horizontal="center" vertical="center"/>
    </dxf>
    <dxf>
      <font>
        <name val="Microsoft YaHei UI"/>
        <scheme val="none"/>
        <charset val="134"/>
        <family val="2"/>
        <strike val="0"/>
        <u val="none"/>
        <sz val="11"/>
      </font>
      <fill>
        <patternFill patternType="none"/>
      </fill>
      <alignment horizontal="center" vertical="center"/>
    </dxf>
    <dxf>
      <font>
        <name val="Microsoft YaHei UI"/>
        <scheme val="none"/>
        <charset val="134"/>
        <family val="2"/>
        <strike val="0"/>
        <u val="none"/>
        <sz val="11"/>
      </font>
      <fill>
        <patternFill patternType="none"/>
      </fill>
      <alignment horizontal="center" vertical="center"/>
    </dxf>
    <dxf>
      <font>
        <name val="Microsoft YaHei UI"/>
        <scheme val="none"/>
        <charset val="134"/>
        <family val="2"/>
        <strike val="0"/>
        <u val="none"/>
        <sz val="11"/>
      </font>
      <fill>
        <patternFill patternType="none"/>
      </fill>
      <alignment horizontal="center" vertical="center"/>
    </dxf>
    <dxf>
      <font>
        <name val="Microsoft YaHei UI"/>
        <scheme val="none"/>
        <charset val="134"/>
        <family val="2"/>
        <strike val="0"/>
        <u val="none"/>
        <sz val="11"/>
      </font>
      <fill>
        <patternFill patternType="none"/>
      </fill>
      <alignment horizontal="center" vertical="center"/>
    </dxf>
    <dxf>
      <font>
        <name val="Microsoft YaHei UI"/>
        <scheme val="none"/>
        <charset val="134"/>
        <family val="2"/>
        <strike val="0"/>
        <u val="none"/>
        <sz val="11"/>
      </font>
      <fill>
        <patternFill patternType="none"/>
      </fill>
      <alignment horizontal="center" vertical="center"/>
    </dxf>
    <dxf>
      <font>
        <name val="Microsoft YaHei UI"/>
        <scheme val="none"/>
        <charset val="134"/>
        <family val="2"/>
        <strike val="0"/>
        <u val="none"/>
        <sz val="11"/>
      </font>
      <fill>
        <patternFill patternType="none"/>
      </fill>
      <alignment horizontal="center" vertical="center"/>
    </dxf>
    <dxf>
      <font>
        <name val="Microsoft YaHei UI"/>
        <scheme val="none"/>
        <charset val="134"/>
        <family val="2"/>
        <strike val="0"/>
        <u val="none"/>
        <sz val="11"/>
      </font>
      <fill>
        <patternFill patternType="none"/>
      </fill>
      <alignment horizontal="center" vertical="center"/>
    </dxf>
    <dxf>
      <font>
        <name val="Microsoft YaHei UI"/>
        <scheme val="none"/>
        <charset val="134"/>
        <family val="2"/>
        <strike val="0"/>
        <u val="none"/>
        <sz val="11"/>
      </font>
      <fill>
        <patternFill patternType="none"/>
      </fill>
      <alignment horizontal="center" vertical="center"/>
    </dxf>
    <dxf>
      <font>
        <name val="Microsoft YaHei UI"/>
        <scheme val="none"/>
        <charset val="134"/>
        <family val="2"/>
        <strike val="0"/>
        <u val="none"/>
        <sz val="11"/>
      </font>
      <fill>
        <patternFill patternType="none"/>
      </fill>
      <alignment horizontal="center" vertical="center"/>
    </dxf>
    <dxf>
      <font>
        <name val="Microsoft YaHei UI"/>
        <scheme val="none"/>
        <charset val="134"/>
        <family val="2"/>
        <strike val="0"/>
        <u val="none"/>
        <sz val="11"/>
      </font>
      <fill>
        <patternFill patternType="solid">
          <bgColor theme="0" tint="-0.0499893185216834"/>
        </patternFill>
      </fill>
      <alignment horizontal="center" vertical="center"/>
    </dxf>
    <dxf>
      <font>
        <b val="1"/>
        <i val="0"/>
      </font>
      <border>
        <bottom style="medium">
          <color theme="5" tint="-0.749961851863155"/>
        </bottom>
      </border>
    </dxf>
    <dxf>
      <font>
        <b val="1"/>
        <i val="0"/>
        <strike val="0"/>
        <color theme="5" tint="-0.749961851863155"/>
      </font>
      <fill>
        <patternFill patternType="solid">
          <bgColor theme="0" tint="-0.0499893185216834"/>
        </patternFill>
      </fill>
      <border>
        <left/>
        <right/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color theme="4" tint="-0.249946592608417"/>
      </font>
      <fill>
        <patternFill patternType="solid">
          <bgColor theme="0" tint="-0.0499893185216834"/>
        </patternFill>
      </fill>
      <border>
        <left/>
        <right/>
        <top style="thick">
          <color theme="3"/>
        </top>
        <bottom style="thick">
          <color theme="3"/>
        </bottom>
        <vertical style="thin">
          <color theme="6" tint="0.599963377788629"/>
        </vertical>
        <horizontal style="thin">
          <color theme="6" tint="0.599963377788629"/>
        </horizontal>
      </border>
    </dxf>
  </dxfs>
  <tableStyles count="1" defaultTableStyle="TableStyleMedium2" defaultPivotStyle="PivotStyleLight16">
    <tableStyle name="业务表" pivot="0" count="3" xr9:uid="{FC07C6B3-5476-4A08-8C89-0858E81A3802}">
      <tableStyleElement type="wholeTable" dxfId="13"/>
      <tableStyleElement type="headerRow" dxfId="12"/>
      <tableStyleElement type="totalRow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xpenseData" displayName="ExpenseData" ref="B9:L19" totalsRowCount="1">
  <autoFilter xmlns:etc="http://www.wps.cn/officeDocument/2017/etCustomData" ref="B9:L18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旅客姓名" dataDxfId="0" totalsRowLabel="汇总"/>
    <tableColumn id="2" name="身份证号" dataDxfId="1"/>
    <tableColumn id="3" name="旅游项目名称" dataDxfId="2"/>
    <tableColumn id="4" name="应付总额" dataDxfId="3" totalsRowFunction="sum"/>
    <tableColumn id="5" name="已缴金额" dataDxfId="4" totalsRowFunction="sum"/>
    <tableColumn id="6" name="余额金额" dataDxfId="5" totalsRowFunction="sum"/>
    <tableColumn id="7" name="缴款截止日期" dataDxfId="6" totalsRowFunction="sum"/>
    <tableColumn id="8" name="付款方式" dataDxfId="7" totalsRowFunction="sum"/>
    <tableColumn id="10" name="备注" dataDxfId="8" totalsRowFunction="sum"/>
    <tableColumn id="11" name="列1" dataDxfId="9" totalsRowFunction="sum"/>
    <tableColumn id="12" name="列2" dataDxfId="10" totalsRowFunction="sum">
      <calculatedColumnFormula>SUM(ExpenseData[[#This Row],[应付总额]:[列1]])</calculatedColumnFormula>
    </tableColumn>
  </tableColumns>
  <tableStyleInfo name="业务表" showFirstColumn="0" showLastColumn="0" showRowStripes="0" showColumnStripes="0"/>
</table>
</file>

<file path=xl/theme/theme1.xml><?xml version="1.0" encoding="utf-8"?>
<a:theme xmlns:a="http://schemas.openxmlformats.org/drawingml/2006/main" name="Business">
  <a:themeElements>
    <a:clrScheme name="Expense Report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1F487C"/>
      </a:accent1>
      <a:accent2>
        <a:srgbClr val="F7F5E4"/>
      </a:accent2>
      <a:accent3>
        <a:srgbClr val="333956"/>
      </a:accent3>
      <a:accent4>
        <a:srgbClr val="51648F"/>
      </a:accent4>
      <a:accent5>
        <a:srgbClr val="558DD4"/>
      </a:accent5>
      <a:accent6>
        <a:srgbClr val="59531D"/>
      </a:accent6>
      <a:hlink>
        <a:srgbClr val="0563C1"/>
      </a:hlink>
      <a:folHlink>
        <a:srgbClr val="954F72"/>
      </a:folHlink>
    </a:clrScheme>
    <a:fontScheme name="Custom 56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  <pageSetUpPr fitToPage="1"/>
  </sheetPr>
  <dimension ref="B1:L22"/>
  <sheetViews>
    <sheetView showGridLines="0" tabSelected="1" topLeftCell="A6" workbookViewId="0">
      <selection activeCell="D5" sqref="D5"/>
    </sheetView>
  </sheetViews>
  <sheetFormatPr defaultColWidth="8.76923076923077" defaultRowHeight="30" customHeight="1"/>
  <cols>
    <col min="1" max="1" width="2.76923076923077" style="2" customWidth="1"/>
    <col min="2" max="12" width="20.7692307692308" style="2" customWidth="1"/>
    <col min="13" max="13" width="2.76923076923077" style="2" customWidth="1"/>
    <col min="14" max="16384" width="8.76923076923077" style="2"/>
  </cols>
  <sheetData>
    <row r="1" s="1" customFormat="1" ht="60" customHeight="1" spans="2:12">
      <c r="B1" s="3" t="s">
        <v>0</v>
      </c>
      <c r="L1" s="27" t="s">
        <v>1</v>
      </c>
    </row>
    <row r="2" ht="40.15" customHeight="1" spans="2:12">
      <c r="B2" s="4" t="s">
        <v>2</v>
      </c>
      <c r="I2" s="28"/>
      <c r="J2" s="28"/>
      <c r="L2" s="29"/>
    </row>
    <row r="3" ht="25.15" customHeight="1" spans="2:10">
      <c r="B3" s="5" t="s">
        <v>3</v>
      </c>
      <c r="C3" s="6">
        <v>123</v>
      </c>
      <c r="D3" s="6"/>
      <c r="E3" s="7"/>
      <c r="F3" s="6"/>
      <c r="G3" s="6"/>
      <c r="H3" s="5" t="s">
        <v>4</v>
      </c>
      <c r="I3" s="30" t="s">
        <v>5</v>
      </c>
      <c r="J3" s="30" t="s">
        <v>6</v>
      </c>
    </row>
    <row r="4" customHeight="1" spans="2:12">
      <c r="B4" s="8"/>
      <c r="C4" s="9"/>
      <c r="D4" s="9"/>
      <c r="E4" s="10"/>
      <c r="F4" s="9"/>
      <c r="G4" s="9"/>
      <c r="H4" s="8"/>
      <c r="I4" s="31"/>
      <c r="J4" s="31"/>
      <c r="K4" s="32"/>
      <c r="L4" s="32"/>
    </row>
    <row r="5" ht="40.15" customHeight="1" spans="2:2">
      <c r="B5" s="11" t="s">
        <v>7</v>
      </c>
    </row>
    <row r="6" ht="25.15" customHeight="1" spans="2:10">
      <c r="B6" s="12" t="s">
        <v>8</v>
      </c>
      <c r="C6" s="6" t="s">
        <v>9</v>
      </c>
      <c r="D6" s="6"/>
      <c r="E6" s="12" t="s">
        <v>10</v>
      </c>
      <c r="F6" s="6" t="s">
        <v>11</v>
      </c>
      <c r="G6" s="6"/>
      <c r="H6" s="12" t="s">
        <v>12</v>
      </c>
      <c r="I6" s="6" t="s">
        <v>13</v>
      </c>
      <c r="J6" s="6"/>
    </row>
    <row r="7" ht="25.15" customHeight="1" spans="2:10">
      <c r="B7" s="12" t="s">
        <v>14</v>
      </c>
      <c r="C7" s="6" t="s">
        <v>15</v>
      </c>
      <c r="D7" s="6"/>
      <c r="E7" s="12" t="s">
        <v>16</v>
      </c>
      <c r="F7" s="6" t="s">
        <v>17</v>
      </c>
      <c r="G7" s="6"/>
      <c r="H7" s="12" t="s">
        <v>18</v>
      </c>
      <c r="I7" s="6">
        <v>8675309</v>
      </c>
      <c r="J7" s="6"/>
    </row>
    <row r="9" ht="49.9" customHeight="1" spans="2:12">
      <c r="B9" s="13" t="s">
        <v>19</v>
      </c>
      <c r="C9" s="13" t="s">
        <v>20</v>
      </c>
      <c r="D9" s="13" t="s">
        <v>21</v>
      </c>
      <c r="E9" s="13" t="s">
        <v>22</v>
      </c>
      <c r="F9" s="13" t="s">
        <v>23</v>
      </c>
      <c r="G9" s="14" t="s">
        <v>24</v>
      </c>
      <c r="H9" s="14" t="s">
        <v>25</v>
      </c>
      <c r="I9" s="14" t="s">
        <v>26</v>
      </c>
      <c r="J9" s="14" t="s">
        <v>27</v>
      </c>
      <c r="K9" s="14" t="s">
        <v>28</v>
      </c>
      <c r="L9" s="14" t="s">
        <v>29</v>
      </c>
    </row>
    <row r="10" customHeight="1" spans="2:12">
      <c r="B10" s="15" t="s">
        <v>9</v>
      </c>
      <c r="C10" s="39" t="s">
        <v>30</v>
      </c>
      <c r="D10" s="16" t="s">
        <v>31</v>
      </c>
      <c r="E10" s="17">
        <v>6666</v>
      </c>
      <c r="F10" s="17">
        <v>2333</v>
      </c>
      <c r="G10" s="17">
        <v>60</v>
      </c>
      <c r="H10" s="18" t="s">
        <v>32</v>
      </c>
      <c r="I10" s="18" t="s">
        <v>33</v>
      </c>
      <c r="J10" s="18" t="s">
        <v>34</v>
      </c>
      <c r="K10" s="18"/>
      <c r="L10" s="33">
        <f>SUM(ExpenseData[[#This Row],[应付总额]:[列1]])</f>
        <v>9059</v>
      </c>
    </row>
    <row r="11" customHeight="1" spans="2:12">
      <c r="B11" s="15"/>
      <c r="C11" s="16"/>
      <c r="D11" s="16"/>
      <c r="E11" s="17"/>
      <c r="F11" s="17"/>
      <c r="G11" s="17"/>
      <c r="H11" s="18"/>
      <c r="I11" s="18"/>
      <c r="J11" s="18"/>
      <c r="K11" s="18"/>
      <c r="L11" s="33">
        <f>SUM(ExpenseData[[#This Row],[应付总额]:[列1]])</f>
        <v>0</v>
      </c>
    </row>
    <row r="12" customHeight="1" spans="2:12">
      <c r="B12" s="15"/>
      <c r="C12" s="16"/>
      <c r="D12" s="16"/>
      <c r="E12" s="17"/>
      <c r="F12" s="17"/>
      <c r="G12" s="17"/>
      <c r="H12" s="18"/>
      <c r="I12" s="18"/>
      <c r="J12" s="18"/>
      <c r="K12" s="18"/>
      <c r="L12" s="33">
        <f>SUM(ExpenseData[[#This Row],[应付总额]:[列1]])</f>
        <v>0</v>
      </c>
    </row>
    <row r="13" customHeight="1" spans="2:12">
      <c r="B13" s="15"/>
      <c r="C13" s="16"/>
      <c r="D13" s="16"/>
      <c r="E13" s="17"/>
      <c r="F13" s="17"/>
      <c r="G13" s="17"/>
      <c r="H13" s="18"/>
      <c r="I13" s="18"/>
      <c r="J13" s="18"/>
      <c r="K13" s="18"/>
      <c r="L13" s="33">
        <f>SUM(ExpenseData[[#This Row],[应付总额]:[列1]])</f>
        <v>0</v>
      </c>
    </row>
    <row r="14" customHeight="1" spans="2:12">
      <c r="B14" s="15"/>
      <c r="C14" s="16"/>
      <c r="D14" s="16"/>
      <c r="E14" s="17"/>
      <c r="F14" s="17"/>
      <c r="G14" s="17"/>
      <c r="H14" s="18"/>
      <c r="I14" s="18"/>
      <c r="J14" s="18"/>
      <c r="K14" s="18"/>
      <c r="L14" s="33">
        <f>SUM(ExpenseData[[#This Row],[应付总额]:[列1]])</f>
        <v>0</v>
      </c>
    </row>
    <row r="15" customHeight="1" spans="2:12">
      <c r="B15" s="15"/>
      <c r="C15" s="16"/>
      <c r="D15" s="16"/>
      <c r="E15" s="17"/>
      <c r="F15" s="17"/>
      <c r="G15" s="17"/>
      <c r="H15" s="18"/>
      <c r="I15" s="18"/>
      <c r="J15" s="18"/>
      <c r="K15" s="18"/>
      <c r="L15" s="33">
        <f>SUM(ExpenseData[[#This Row],[应付总额]:[列1]])</f>
        <v>0</v>
      </c>
    </row>
    <row r="16" customHeight="1" spans="2:12">
      <c r="B16" s="15"/>
      <c r="C16" s="16"/>
      <c r="D16" s="16"/>
      <c r="E16" s="17"/>
      <c r="F16" s="17"/>
      <c r="G16" s="17"/>
      <c r="H16" s="18"/>
      <c r="I16" s="18"/>
      <c r="J16" s="18"/>
      <c r="K16" s="18"/>
      <c r="L16" s="33">
        <f>SUM(ExpenseData[[#This Row],[应付总额]:[列1]])</f>
        <v>0</v>
      </c>
    </row>
    <row r="17" customHeight="1" spans="2:12">
      <c r="B17" s="15"/>
      <c r="C17" s="16"/>
      <c r="D17" s="16"/>
      <c r="E17" s="18"/>
      <c r="F17" s="18"/>
      <c r="G17" s="18"/>
      <c r="H17" s="18"/>
      <c r="I17" s="18"/>
      <c r="J17" s="18"/>
      <c r="K17" s="18"/>
      <c r="L17" s="33">
        <f>SUM(ExpenseData[[#This Row],[应付总额]:[列1]])</f>
        <v>0</v>
      </c>
    </row>
    <row r="18" customHeight="1" spans="2:12">
      <c r="B18" s="15"/>
      <c r="C18" s="16"/>
      <c r="D18" s="16"/>
      <c r="E18" s="18"/>
      <c r="F18" s="18"/>
      <c r="G18" s="18"/>
      <c r="H18" s="18"/>
      <c r="I18" s="18"/>
      <c r="J18" s="18"/>
      <c r="K18" s="18"/>
      <c r="L18" s="33">
        <f>SUM(ExpenseData[[#This Row],[应付总额]:[列1]])</f>
        <v>0</v>
      </c>
    </row>
    <row r="19" customHeight="1" spans="2:12">
      <c r="B19" s="19" t="s">
        <v>35</v>
      </c>
      <c r="C19" s="19"/>
      <c r="D19" s="19"/>
      <c r="E19" s="20">
        <f>SUBTOTAL(109,ExpenseData[应付总额])</f>
        <v>6666</v>
      </c>
      <c r="F19" s="20">
        <f>SUBTOTAL(109,ExpenseData[已缴金额])</f>
        <v>2333</v>
      </c>
      <c r="G19" s="20">
        <f>SUBTOTAL(109,ExpenseData[余额金额])</f>
        <v>60</v>
      </c>
      <c r="H19" s="20">
        <f>SUBTOTAL(109,ExpenseData[缴款截止日期])</f>
        <v>0</v>
      </c>
      <c r="I19" s="20">
        <f>SUBTOTAL(109,ExpenseData[付款方式])</f>
        <v>0</v>
      </c>
      <c r="J19" s="20">
        <f>SUBTOTAL(109,ExpenseData[备注])</f>
        <v>0</v>
      </c>
      <c r="K19" s="20">
        <f>SUBTOTAL(109,ExpenseData[列1])</f>
        <v>0</v>
      </c>
      <c r="L19" s="34">
        <f>SUBTOTAL(109,ExpenseData[列2])</f>
        <v>9059</v>
      </c>
    </row>
    <row r="20" customHeight="1" spans="3:12">
      <c r="C20" s="21"/>
      <c r="D20" s="21"/>
      <c r="E20" s="21"/>
      <c r="F20" s="21"/>
      <c r="G20" s="21"/>
      <c r="H20" s="21"/>
      <c r="I20" s="21"/>
      <c r="K20" s="35" t="s">
        <v>36</v>
      </c>
      <c r="L20" s="36">
        <f>ExpenseData[[#Totals],[列2]]</f>
        <v>9059</v>
      </c>
    </row>
    <row r="21" ht="49.9" customHeight="1" spans="2:12">
      <c r="B21" s="22" t="s">
        <v>37</v>
      </c>
      <c r="C21" s="23"/>
      <c r="D21" s="23"/>
      <c r="E21" s="23"/>
      <c r="F21" s="24" t="s">
        <v>27</v>
      </c>
      <c r="G21" s="25"/>
      <c r="H21" s="25"/>
      <c r="I21" s="25"/>
      <c r="K21" s="35" t="s">
        <v>38</v>
      </c>
      <c r="L21" s="37">
        <v>0</v>
      </c>
    </row>
    <row r="22" customHeight="1" spans="3:12">
      <c r="C22" s="23"/>
      <c r="D22" s="23"/>
      <c r="E22" s="23"/>
      <c r="F22" s="21"/>
      <c r="G22" s="26"/>
      <c r="H22" s="26"/>
      <c r="I22" s="26"/>
      <c r="K22" s="35" t="s">
        <v>35</v>
      </c>
      <c r="L22" s="38">
        <f>小计-预付款</f>
        <v>9059</v>
      </c>
    </row>
  </sheetData>
  <mergeCells count="8">
    <mergeCell ref="C3:D3"/>
    <mergeCell ref="F3:G3"/>
    <mergeCell ref="C6:D6"/>
    <mergeCell ref="C7:D7"/>
    <mergeCell ref="C21:E21"/>
    <mergeCell ref="G21:I21"/>
    <mergeCell ref="C22:E22"/>
    <mergeCell ref="G22:I22"/>
  </mergeCells>
  <dataValidations count="42">
    <dataValidation allowBlank="1" showInputMessage="1" showErrorMessage="1" prompt="使用此“零用金报销单”工作表跟踪支出。在单元格 B9 到 K18 和支出数据表中输入各种支出类别的值。" sqref="A1"/>
    <dataValidation allowBlank="1" showInputMessage="1" showErrorMessage="1" prompt="此单元格为零用金报销单标题" sqref="B1"/>
    <dataValidation allowBlank="1" showErrorMessage="1" prompt="报表仅供办公用途" sqref="L1"/>
    <dataValidation allowBlank="1" showErrorMessage="1" prompt="此单元格为零用金报销单标题" sqref="B2"/>
    <dataValidation allowBlank="1" showInputMessage="1" showErrorMessage="1" prompt="在右侧的单元格中输入支出事由" sqref="B3"/>
    <dataValidation allowBlank="1" showInputMessage="1" showErrorMessage="1" prompt="在此单元格中输入零用金报销单事由" sqref="C3:D3"/>
    <dataValidation allowBlank="1" showInputMessage="1" showErrorMessage="1" prompt="在右侧的单元格中输入结算单号" sqref="E3"/>
    <dataValidation allowBlank="1" showInputMessage="1" showErrorMessage="1" prompt="在此单元格中输入零用金报销单结算单号" sqref="F3:G3"/>
    <dataValidation allowBlank="1" showInputMessage="1" showErrorMessage="1" prompt="付款期根据支出数据表中的数据自动更新" sqref="H3"/>
    <dataValidation allowBlank="1" showInputMessage="1" showErrorMessage="1" prompt="此单元格中是此零用金报销单的起始时间，该时间按照支出数据表中的条目自动确定" sqref="I3"/>
    <dataValidation allowBlank="1" showInputMessage="1" showErrorMessage="1" prompt="此单元格中是此零用金报销单的结束时间，该时间按照支出数据表中的条目自动确定" sqref="J3"/>
    <dataValidation allowBlank="1" showInputMessage="1" showErrorMessage="1" prompt="在下面的单元格中输入员工信息" sqref="B5"/>
    <dataValidation allowBlank="1" showInputMessage="1" showErrorMessage="1" prompt="在右侧单元格中输入员工姓名" sqref="B6"/>
    <dataValidation allowBlank="1" showInputMessage="1" showErrorMessage="1" prompt="在此单元格中输入员工姓名" sqref="C6:D6"/>
    <dataValidation allowBlank="1" showInputMessage="1" showErrorMessage="1" prompt="在右侧单元格中输入员工职位" sqref="E6"/>
    <dataValidation allowBlank="1" showInputMessage="1" showErrorMessage="1" prompt="在此单元格中输入员工职位" sqref="F6"/>
    <dataValidation allowBlank="1" showInputMessage="1" showErrorMessage="1" prompt="在右侧单元格中输入社会保险号" sqref="H6"/>
    <dataValidation allowBlank="1" showInputMessage="1" showErrorMessage="1" prompt="在此单元格中输入社会保险号" sqref="I6"/>
    <dataValidation allowBlank="1" showInputMessage="1" showErrorMessage="1" prompt="在右侧单元格中输入员工部门" sqref="B7"/>
    <dataValidation allowBlank="1" showInputMessage="1" showErrorMessage="1" prompt="在此单元格中输入员工部门" sqref="C7:D7"/>
    <dataValidation allowBlank="1" showInputMessage="1" showErrorMessage="1" prompt="在右侧单元格中输入经理姓名" sqref="E7"/>
    <dataValidation allowBlank="1" showInputMessage="1" showErrorMessage="1" prompt="在此单元格中输入经理的姓名" sqref="F7"/>
    <dataValidation allowBlank="1" showInputMessage="1" showErrorMessage="1" prompt="在右侧单元格中输入员工 ID" sqref="H7"/>
    <dataValidation allowBlank="1" showInputMessage="1" showErrorMessage="1" prompt="在此单元格中输入员工 ID" sqref="I7"/>
    <dataValidation allowBlank="1" showInputMessage="1" showErrorMessage="1" prompt="在此标题下的列中输入日期" sqref="B9"/>
    <dataValidation allowBlank="1" showInputMessage="1" showErrorMessage="1" prompt="在此标题下的列中输入帐目" sqref="C9"/>
    <dataValidation allowBlank="1" showInputMessage="1" showErrorMessage="1" prompt="在此标题下的列中输入说明" sqref="D9"/>
    <dataValidation allowBlank="1" showInputMessage="1" showErrorMessage="1" prompt="在此标题下的列中输入旅馆费" sqref="E9"/>
    <dataValidation allowBlank="1" showInputMessage="1" showErrorMessage="1" prompt="在此标题下的列中输入交通费" sqref="F9"/>
    <dataValidation allowBlank="1" showInputMessage="1" showErrorMessage="1" prompt="在此标题下的列中输入油费" sqref="G9"/>
    <dataValidation allowBlank="1" showInputMessage="1" showErrorMessage="1" prompt="在此标题下的列中输入餐饮费" sqref="H9"/>
    <dataValidation allowBlank="1" showInputMessage="1" showErrorMessage="1" prompt="在此标题下的列中输入电话费" sqref="I9"/>
    <dataValidation allowBlank="1" showInputMessage="1" showErrorMessage="1" prompt="在此标题下的列中输入招待费" sqref="J9"/>
    <dataValidation allowBlank="1" showInputMessage="1" showErrorMessage="1" prompt="在此标题下的列中输入杂项支出" sqref="K9"/>
    <dataValidation allowBlank="1" showInputMessage="1" showErrorMessage="1" prompt="将此标题下的列中自动计算每个日期的总支出" sqref="L9"/>
    <dataValidation allowBlank="1" showInputMessage="1" showErrorMessage="1" prompt="自动计算的小计" sqref="L20"/>
    <dataValidation allowBlank="1" showInputMessage="1" showErrorMessage="1" prompt="在右侧单元格中输入意见" sqref="B21"/>
    <dataValidation allowBlank="1" showInputMessage="1" showErrorMessage="1" prompt="在右侧单元格中输入备注" sqref="F21"/>
    <dataValidation allowBlank="1" showInputMessage="1" showErrorMessage="1" prompt="在此单元格中输入预付款" sqref="L21"/>
    <dataValidation allowBlank="1" showInputMessage="1" showErrorMessage="1" prompt="自动计算的总计" sqref="L22"/>
    <dataValidation allowBlank="1" showInputMessage="1" showErrorMessage="1" prompt="在此单元格中输入签名" sqref="C21:E22"/>
    <dataValidation allowBlank="1" showInputMessage="1" showErrorMessage="1" prompt="在此单元格中输入备注" sqref="G21:I22"/>
  </dataValidations>
  <printOptions horizontalCentered="1"/>
  <pageMargins left="0.4" right="0.4" top="0.4" bottom="0.4" header="0.3" footer="0.3"/>
  <pageSetup paperSize="9" scale="52" fitToHeight="0" orientation="landscape"/>
  <headerFooter differentFirst="1">
    <oddFooter>&amp;CPage &amp;P of &amp;N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04056B5-BF2F-4DFA-A57F-D75DA6DEA9DC}">
  <ds:schemaRefs/>
</ds:datastoreItem>
</file>

<file path=customXml/itemProps2.xml><?xml version="1.0" encoding="utf-8"?>
<ds:datastoreItem xmlns:ds="http://schemas.openxmlformats.org/officeDocument/2006/customXml" ds:itemID="{FA29E51E-FB49-4711-9017-F25EE3DB6D44}">
  <ds:schemaRefs/>
</ds:datastoreItem>
</file>

<file path=customXml/itemProps3.xml><?xml version="1.0" encoding="utf-8"?>
<ds:datastoreItem xmlns:ds="http://schemas.openxmlformats.org/officeDocument/2006/customXml" ds:itemID="{F853990A-E8CE-40A1-B16C-FF31E726463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TM66811421</Template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零用金报销单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桃子</cp:lastModifiedBy>
  <dcterms:created xsi:type="dcterms:W3CDTF">2022-11-28T06:59:00Z</dcterms:created>
  <dcterms:modified xsi:type="dcterms:W3CDTF">2025-05-20T09:27:27Z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ICV">
    <vt:lpwstr>A2E6797562FE46E9941F16D3C0E7E1E8_12</vt:lpwstr>
  </property>
  <property fmtid="{D5CDD505-2E9C-101B-9397-08002B2CF9AE}" pid="4" name="KSOProductBuildVer">
    <vt:lpwstr>2052-12.1.0.21171</vt:lpwstr>
  </property>
</Properties>
</file>